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un Sheet" sheetId="1" state="visible" r:id="rId3"/>
    <sheet name="Prereqs" sheetId="2" state="visible" r:id="rId4"/>
    <sheet name="Leak Checks" sheetId="3" state="visible" r:id="rId5"/>
    <sheet name="Stage 3 Recycl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<sst xmlns="http://schemas.openxmlformats.org/spreadsheetml/2006/main" count="686" uniqueCount="290">
  <si>
    <t xml:space="preserve">ID</t>
  </si>
  <si>
    <t xml:space="preserve">Feature</t>
  </si>
  <si>
    <t xml:space="preserve">PNR ref
(fill in)</t>
  </si>
  <si>
    <t xml:space="preserve">Type</t>
  </si>
  <si>
    <t xml:space="preserve">Itinerary / variant</t>
  </si>
  <si>
    <t xml:space="preserve">Flight timing</t>
  </si>
  <si>
    <t xml:space="preserve">Booked
under #</t>
  </si>
  <si>
    <t xml:space="preserve">Action to perform</t>
  </si>
  <si>
    <t xml:space="preserve"># when
action runs</t>
  </si>
  <si>
    <t xml:space="preserve">Expected result (PASS condition)</t>
  </si>
  <si>
    <t xml:space="preserve">Status</t>
  </si>
  <si>
    <t xml:space="preserve">Actual / Notes</t>
  </si>
  <si>
    <t xml:space="preserve">PHASE 0 — PREREQUISITES: complete the 'Prereqs' tab before booking anything</t>
  </si>
  <si>
    <t xml:space="preserve">PHASE 1 — BOOK ALL FIXTURES under M1 (account FFN_A, logged in). Write the real PNR in col C as you book.</t>
  </si>
  <si>
    <t xml:space="preserve">F1</t>
  </si>
  <si>
    <t xml:space="preserve">Earn / GST</t>
  </si>
  <si>
    <t xml:space="preserve">LPLP6F</t>
  </si>
  <si>
    <t xml:space="preserve">Cash</t>
  </si>
  <si>
    <t xml:space="preserve">Domestic — direct</t>
  </si>
  <si>
    <t xml:space="preserve">Fly AFTER update</t>
  </si>
  <si>
    <t xml:space="preserve">M1</t>
  </si>
  <si>
    <t xml:space="preserve">Book</t>
  </si>
  <si>
    <t xml:space="preserve">Booking confirmed under FFN_A; contact = M1</t>
  </si>
  <si>
    <t xml:space="preserve">PASS</t>
  </si>
  <si>
    <t xml:space="preserve">DEL-MAA (5E) | 11:00-13:50 | 216 BC earned</t>
  </si>
  <si>
    <t xml:space="preserve">F2</t>
  </si>
  <si>
    <t xml:space="preserve">Earn</t>
  </si>
  <si>
    <t xml:space="preserve">CUVKKD</t>
  </si>
  <si>
    <t xml:space="preserve">Domestic — round trip</t>
  </si>
  <si>
    <t xml:space="preserve">NMI-HYD / HYD-NMI (round) | 19:20-20:25 / 16:40-18:10 | 448 BC</t>
  </si>
  <si>
    <t xml:space="preserve">F3</t>
  </si>
  <si>
    <t xml:space="preserve">L1TRMN</t>
  </si>
  <si>
    <t xml:space="preserve">Domestic — multi-city</t>
  </si>
  <si>
    <t xml:space="preserve">DEL-BOM / BOM-BLR (multi) | 07:15-09:30 / 14:30-16:25 | 1410 BC</t>
  </si>
  <si>
    <t xml:space="preserve">F4</t>
  </si>
  <si>
    <t xml:space="preserve">XPTR6V</t>
  </si>
  <si>
    <t xml:space="preserve">International</t>
  </si>
  <si>
    <t xml:space="preserve">DEL-AUH via MAA (intl) | 16:40-19:30 / 00:55-03:35 | 2233 BC</t>
  </si>
  <si>
    <t xml:space="preserve">F5</t>
  </si>
  <si>
    <t xml:space="preserve">WQU34S</t>
  </si>
  <si>
    <t xml:space="preserve">Burn</t>
  </si>
  <si>
    <t xml:space="preserve">Domestic</t>
  </si>
  <si>
    <t xml:space="preserve">Points debited from FFN_A; booking confirmed; contact = M1</t>
  </si>
  <si>
    <t xml:space="preserve">BOM-JAI | 4 Jul | 23:20-01:00 | 10533 BC + ₹2032</t>
  </si>
  <si>
    <t xml:space="preserve">F6</t>
  </si>
  <si>
    <t xml:space="preserve">S5X8TE</t>
  </si>
  <si>
    <t xml:space="preserve">DEL-DXB (intl) | 6 Jul | 19:10-21:25 | 4795 BC + ₹8015</t>
  </si>
  <si>
    <t xml:space="preserve">C1</t>
  </si>
  <si>
    <t xml:space="preserve">Cancel</t>
  </si>
  <si>
    <t xml:space="preserve">M2LE8A</t>
  </si>
  <si>
    <t xml:space="preserve">Future (do NOT fly)</t>
  </si>
  <si>
    <t xml:space="preserve">Confirmed; held for cancel test</t>
  </si>
  <si>
    <t xml:space="preserve">BLR-BOM | 15 Jul | 11:30-13:20 | ₹4949 / 408 BC earn</t>
  </si>
  <si>
    <t xml:space="preserve">C2</t>
  </si>
  <si>
    <t xml:space="preserve">APNV9C</t>
  </si>
  <si>
    <t xml:space="preserve">Points debited; held for cancel test</t>
  </si>
  <si>
    <t xml:space="preserve">GOI-DEL | 4 Jul | 22:30-01:10 | 9295 BC + ₹2463  ← note 9295 BC debited, must be reinstated on cancel</t>
  </si>
  <si>
    <t xml:space="preserve">CH1</t>
  </si>
  <si>
    <t xml:space="preserve">Change</t>
  </si>
  <si>
    <t xml:space="preserve">H2JMVK</t>
  </si>
  <si>
    <t xml:space="preserve">Future</t>
  </si>
  <si>
    <t xml:space="preserve">Confirmed; held for change test</t>
  </si>
  <si>
    <t xml:space="preserve">DEL-HYD (Flexi) | 17 Jul | 17:00-19:00 | ₹7093 / 720 BC earn</t>
  </si>
  <si>
    <t xml:space="preserve">SP1</t>
  </si>
  <si>
    <t xml:space="preserve">Split</t>
  </si>
  <si>
    <t xml:space="preserve">TUBTXJ</t>
  </si>
  <si>
    <t xml:space="preserve">Domestic — 2+ pax / segments</t>
  </si>
  <si>
    <t xml:space="preserve">Confirmed (must be splittable); held for split test</t>
  </si>
  <si>
    <t xml:space="preserve">DEL-BOM (2 pax) | 19 Jul | 08:45-11:00 | ₹8322 / 375 BC earn</t>
  </si>
  <si>
    <t xml:space="preserve">PB1</t>
  </si>
  <si>
    <t xml:space="preserve">Plan-B</t>
  </si>
  <si>
    <t xml:space="preserve">MWE8MY</t>
  </si>
  <si>
    <t xml:space="preserve">Confirmed; fare must be Plan-B eligible</t>
  </si>
  <si>
    <t xml:space="preserve">DEL-VNS | 16 Jul | 19:05-20:30 | ₹4258 / 396 BC earn</t>
  </si>
  <si>
    <t xml:space="preserve">PB2</t>
  </si>
  <si>
    <t xml:space="preserve">FVNHHQ</t>
  </si>
  <si>
    <t xml:space="preserve">Points debited; Plan-B eligible</t>
  </si>
  <si>
    <t xml:space="preserve">DEL-VNS | 20 Jul | 14:35-16:05 | 3547 BC + ₹1334</t>
  </si>
  <si>
    <t xml:space="preserve">TH1</t>
  </si>
  <si>
    <t xml:space="preserve">Trip history</t>
  </si>
  <si>
    <t xml:space="preserve">BQR2JP</t>
  </si>
  <si>
    <t xml:space="preserve">Future (not flown)</t>
  </si>
  <si>
    <t xml:space="preserve">Confirmed; appears in T.H. as upcoming</t>
  </si>
  <si>
    <t xml:space="preserve">DEL-BLR | 12 Jul | 01:05-04:00 | cash</t>
  </si>
  <si>
    <t xml:space="preserve">TH2</t>
  </si>
  <si>
    <t xml:space="preserve">Q5FB4B</t>
  </si>
  <si>
    <t xml:space="preserve">DEL-PAT | 4 Jul | 16:20-18:00 | 7671 BC + ₹1423</t>
  </si>
  <si>
    <t xml:space="preserve">TH3</t>
  </si>
  <si>
    <t xml:space="preserve">L4YT5R</t>
  </si>
  <si>
    <t xml:space="preserve">Confirmed; to be flown post-update</t>
  </si>
  <si>
    <t xml:space="preserve">DEL-CCU | 13 Jul | 02:45-05:00 | ₹6673 / 672 BC earn</t>
  </si>
  <si>
    <t xml:space="preserve">TH4</t>
  </si>
  <si>
    <t xml:space="preserve">NITKNN</t>
  </si>
  <si>
    <t xml:space="preserve">DEL-NAG | 8 Jul | 04:10-06:20 | 5695 BC + ₹1382</t>
  </si>
  <si>
    <t xml:space="preserve">AT1</t>
  </si>
  <si>
    <t xml:space="preserve">Auto-tag</t>
  </si>
  <si>
    <t xml:space="preserve">M4IUSH</t>
  </si>
  <si>
    <t xml:space="preserve">Book with M1 so it auto-tags to FFN_A</t>
  </si>
  <si>
    <t xml:space="preserve">Auto-tagged to FFN_A (no manual add-trip)</t>
  </si>
  <si>
    <t xml:space="preserve">DEL-LKO | 15 Jul | 07:20-08:30 | ₹6016  ← booked MOBILE-ONLY, FFN not linked = auto-tag-by-M1 test</t>
  </si>
  <si>
    <t xml:space="preserve">RT1</t>
  </si>
  <si>
    <t xml:space="preserve">Retro</t>
  </si>
  <si>
    <t xml:space="preserve">—</t>
  </si>
  <si>
    <t xml:space="preserve">Confirmed; to be flown then retro-claimed</t>
  </si>
  <si>
    <t xml:space="preserve">Not run</t>
  </si>
  <si>
    <t xml:space="preserve">⚠ NOT BOOKED YET. Book last — must stay UNCLAIMED (do not link FFN/enter M1 the same way as AT1) so retro-claim is testable.</t>
  </si>
  <si>
    <t xml:space="preserve">PHASE 2 — THE SINGLE PIVOT (one-time, irreversible). Everything below depends on this.</t>
  </si>
  <si>
    <t xml:space="preserve">UPD</t>
  </si>
  <si>
    <t xml:space="preserve">Mobile update</t>
  </si>
  <si>
    <t xml:space="preserve">FFN_A</t>
  </si>
  <si>
    <t xml:space="preserve">M1 → M2 (email stays E1)</t>
  </si>
  <si>
    <t xml:space="preserve">M1→M2</t>
  </si>
  <si>
    <t xml:space="preserve">Update mobile number on FFN_A from M1 to M2</t>
  </si>
  <si>
    <t xml:space="preserve">M2</t>
  </si>
  <si>
    <t xml:space="preserve">Update succeeds; profile now shows M2; OTP now goes to M2</t>
  </si>
  <si>
    <t xml:space="preserve">PHASE 3 — RUN ACTIONS under M2. Core check on every row: artifact/comm follows the FFN (→ M2), never M1.</t>
  </si>
  <si>
    <t xml:space="preserve">A-F1</t>
  </si>
  <si>
    <t xml:space="preserve">Earn / fly</t>
  </si>
  <si>
    <t xml:space="preserve">F1 · LPLP6F</t>
  </si>
  <si>
    <t xml:space="preserve">Domestic direct</t>
  </si>
  <si>
    <t xml:space="preserve">Fly the flight (force flown in UAT)</t>
  </si>
  <si>
    <t xml:space="preserve">Earn credits FFN_A; flown comm to M2; trip under FFN_A</t>
  </si>
  <si>
    <t xml:space="preserve">A-F2</t>
  </si>
  <si>
    <t xml:space="preserve">F2 · CUVKKD</t>
  </si>
  <si>
    <t xml:space="preserve">Domestic round</t>
  </si>
  <si>
    <t xml:space="preserve">Fly the flight</t>
  </si>
  <si>
    <t xml:space="preserve">Earn credits FFN_A; flown comm to M2</t>
  </si>
  <si>
    <t xml:space="preserve">A-F3</t>
  </si>
  <si>
    <t xml:space="preserve">F3 · L1TRMN</t>
  </si>
  <si>
    <t xml:space="preserve">Domestic multi</t>
  </si>
  <si>
    <t xml:space="preserve">A-F4</t>
  </si>
  <si>
    <t xml:space="preserve">F4 · XPTR6V</t>
  </si>
  <si>
    <t xml:space="preserve">A-F5</t>
  </si>
  <si>
    <t xml:space="preserve">Fly</t>
  </si>
  <si>
    <t xml:space="preserve">F5 · WQU34S</t>
  </si>
  <si>
    <t xml:space="preserve">Travel status updates on FFN_A; flown comm to M2</t>
  </si>
  <si>
    <t xml:space="preserve">A-F6</t>
  </si>
  <si>
    <t xml:space="preserve">F6 · S5X8TE</t>
  </si>
  <si>
    <t xml:space="preserve">A-G1</t>
  </si>
  <si>
    <t xml:space="preserve">GST</t>
  </si>
  <si>
    <t xml:space="preserve">Fetch GST invoice</t>
  </si>
  <si>
    <t xml:space="preserve">Invoice contact per agreed oracle (live → M2)</t>
  </si>
  <si>
    <t xml:space="preserve">A-G2</t>
  </si>
  <si>
    <t xml:space="preserve">A-G3</t>
  </si>
  <si>
    <t xml:space="preserve">A-G4</t>
  </si>
  <si>
    <t xml:space="preserve">A-C1</t>
  </si>
  <si>
    <t xml:space="preserve">C1 · M2LE8A</t>
  </si>
  <si>
    <t xml:space="preserve">Cancel the flight</t>
  </si>
  <si>
    <t xml:space="preserve">Refund/cancel comm + XXL itinerary to M2; not M1</t>
  </si>
  <si>
    <t xml:space="preserve">A-C2</t>
  </si>
  <si>
    <t xml:space="preserve">C2 · APNV9C</t>
  </si>
  <si>
    <t xml:space="preserve">Redeemed points reinstated to FFN_A; cancel comm to M2</t>
  </si>
  <si>
    <t xml:space="preserve">A-CH1</t>
  </si>
  <si>
    <t xml:space="preserve">CH1 · H2JMVK</t>
  </si>
  <si>
    <t xml:space="preserve">Change the flight</t>
  </si>
  <si>
    <t xml:space="preserve">Revised itinerary comm to M2; not M1</t>
  </si>
  <si>
    <t xml:space="preserve">A-SP1</t>
  </si>
  <si>
    <t xml:space="preserve">SP1 · TUBTXJ</t>
  </si>
  <si>
    <t xml:space="preserve">Split the PNR</t>
  </si>
  <si>
    <t xml:space="preserve">Split-off PNR(s) stay under FFN_A; comms to M2</t>
  </si>
  <si>
    <t xml:space="preserve">A-PB1</t>
  </si>
  <si>
    <t xml:space="preserve">PB1 · MWE8MY</t>
  </si>
  <si>
    <t xml:space="preserve">Change / cancel via PLAN-B</t>
  </si>
  <si>
    <t xml:space="preserve">Plan-B comm/itinerary to M2; not M1</t>
  </si>
  <si>
    <t xml:space="preserve">A-PB2</t>
  </si>
  <si>
    <t xml:space="preserve">PB2 · FVNHHQ</t>
  </si>
  <si>
    <t xml:space="preserve">Plan-B handled; points correct; comm to M2</t>
  </si>
  <si>
    <t xml:space="preserve">A-TH</t>
  </si>
  <si>
    <t xml:space="preserve">TH1–TH4</t>
  </si>
  <si>
    <t xml:space="preserve">Mixed</t>
  </si>
  <si>
    <t xml:space="preserve">Log in via M2, open Trip History</t>
  </si>
  <si>
    <t xml:space="preserve">All M1-booked trips (TH1-4) visible under M2; none missing</t>
  </si>
  <si>
    <t xml:space="preserve">A-TH3</t>
  </si>
  <si>
    <t xml:space="preserve">TH3 · L4YT5R</t>
  </si>
  <si>
    <t xml:space="preserve">Fly TH3 then re-check T.H.</t>
  </si>
  <si>
    <t xml:space="preserve">Shows as flown under M2/FFN_A</t>
  </si>
  <si>
    <t xml:space="preserve">A-TH4</t>
  </si>
  <si>
    <t xml:space="preserve">TH4 · NITKNN</t>
  </si>
  <si>
    <t xml:space="preserve">Fly TH4 then re-check T.H.</t>
  </si>
  <si>
    <t xml:space="preserve">A-AT1</t>
  </si>
  <si>
    <t xml:space="preserve">AT1 · M4IUSH</t>
  </si>
  <si>
    <t xml:space="preserve">Fly AT1 (booked+tagged pre-update)</t>
  </si>
  <si>
    <t xml:space="preserve">Auto-tag still bound to FFN_A; earn credits FFN_A; comm M2</t>
  </si>
  <si>
    <t xml:space="preserve">A-RT1</t>
  </si>
  <si>
    <t xml:space="preserve">RT1 · (not booked)</t>
  </si>
  <si>
    <t xml:space="preserve">Fly RT1, then retro-claim logged in via M2</t>
  </si>
  <si>
    <t xml:space="preserve">Retro points credit to FFN_A; claim works via M2</t>
  </si>
  <si>
    <t xml:space="preserve">STATUS SUMMARY</t>
  </si>
  <si>
    <t xml:space="preserve">FAIL</t>
  </si>
  <si>
    <t xml:space="preserve">BLOCKED</t>
  </si>
  <si>
    <t xml:space="preserve">PHASE 0 — confirm ALL of these before Phase 1. The starred ones are common blockers.</t>
  </si>
  <si>
    <t xml:space="preserve">P1</t>
  </si>
  <si>
    <t xml:space="preserve">Numbers</t>
  </si>
  <si>
    <t xml:space="preserve">M1 — you can receive its OTP/SMS</t>
  </si>
  <si>
    <t xml:space="preserve">Confirm control of M1</t>
  </si>
  <si>
    <t xml:space="preserve">You can read what lands on M1 (and what doesn't)</t>
  </si>
  <si>
    <t xml:space="preserve">P2</t>
  </si>
  <si>
    <t xml:space="preserve">M2 — you can receive its OTP/SMS</t>
  </si>
  <si>
    <t xml:space="preserve">Confirm control of M2</t>
  </si>
  <si>
    <t xml:space="preserve">You can read what lands on M2</t>
  </si>
  <si>
    <t xml:space="preserve">P3</t>
  </si>
  <si>
    <t xml:space="preserve">Emails</t>
  </si>
  <si>
    <t xml:space="preserve">E1 inbox accessible</t>
  </si>
  <si>
    <t xml:space="preserve">E1</t>
  </si>
  <si>
    <t xml:space="preserve">Confirm control of E1</t>
  </si>
  <si>
    <t xml:space="preserve">Can read E1 mail</t>
  </si>
  <si>
    <t xml:space="preserve">P4</t>
  </si>
  <si>
    <t xml:space="preserve">E2 inbox accessible</t>
  </si>
  <si>
    <t xml:space="preserve">E2</t>
  </si>
  <si>
    <t xml:space="preserve">Confirm control of E2</t>
  </si>
  <si>
    <t xml:space="preserve">Can read E2 mail</t>
  </si>
  <si>
    <t xml:space="preserve">P5*</t>
  </si>
  <si>
    <t xml:space="preserve">Points</t>
  </si>
  <si>
    <t xml:space="preserve">BluChip balance seeded on FFN_A</t>
  </si>
  <si>
    <t xml:space="preserve">Seed/earn points before any Burn booking</t>
  </si>
  <si>
    <t xml:space="preserve">Enough balance for F5,F6,C2,PB2</t>
  </si>
  <si>
    <t xml:space="preserve">P6*</t>
  </si>
  <si>
    <t xml:space="preserve">Flown flag</t>
  </si>
  <si>
    <t xml:space="preserve">Know how UAT marks a flight 'flown'</t>
  </si>
  <si>
    <t xml:space="preserve">Get the past-date / ops method from team</t>
  </si>
  <si>
    <t xml:space="preserve">Can force F1-F6,TH3,TH4,AT1,RT1 to flown</t>
  </si>
  <si>
    <t xml:space="preserve">P7*</t>
  </si>
  <si>
    <t xml:space="preserve">GST oracle</t>
  </si>
  <si>
    <t xml:space="preserve">GST contact = snapshot or live?</t>
  </si>
  <si>
    <t xml:space="preserve">Confirm intended behaviour with finance/PM</t>
  </si>
  <si>
    <t xml:space="preserve">You have a pass/fail rule for A-G1..G4</t>
  </si>
  <si>
    <t xml:space="preserve">P8</t>
  </si>
  <si>
    <t xml:space="preserve">Plan-B eligibility on chosen fares</t>
  </si>
  <si>
    <t xml:space="preserve">Verify PB1/PB2 fares allow Plan-B</t>
  </si>
  <si>
    <t xml:space="preserve">Plan-B path available</t>
  </si>
  <si>
    <t xml:space="preserve">P9</t>
  </si>
  <si>
    <t xml:space="preserve">Split eligibility on SP1</t>
  </si>
  <si>
    <t xml:space="preserve">Book SP1 with 2+ pax / segments</t>
  </si>
  <si>
    <t xml:space="preserve">PNR is splittable</t>
  </si>
  <si>
    <t xml:space="preserve">SECURITY — run THROUGHOUT Phase 3. Any one of these failing = STOP-SHIP.</t>
  </si>
  <si>
    <t xml:space="preserve">L1</t>
  </si>
  <si>
    <t xml:space="preserve">Retrieve</t>
  </si>
  <si>
    <t xml:space="preserve">FFN_A PNRs</t>
  </si>
  <si>
    <t xml:space="preserve">Non-logged-in 'retrieve booking' by mobile</t>
  </si>
  <si>
    <t xml:space="preserve">Enter M1 in retrieve-by-mobile flow</t>
  </si>
  <si>
    <t xml:space="preserve">Returns NOTHING for FFN_A bookings (M2 returns them)</t>
  </si>
  <si>
    <t xml:space="preserve">L2</t>
  </si>
  <si>
    <t xml:space="preserve">Login</t>
  </si>
  <si>
    <t xml:space="preserve">OTP / login attempt</t>
  </si>
  <si>
    <t xml:space="preserve">Request OTP / login with M1</t>
  </si>
  <si>
    <t xml:space="preserve">Cannot access FFN_A via M1 at all</t>
  </si>
  <si>
    <t xml:space="preserve">L3</t>
  </si>
  <si>
    <t xml:space="preserve">Comms</t>
  </si>
  <si>
    <t xml:space="preserve">Monitor M1 during every Phase-3 action</t>
  </si>
  <si>
    <t xml:space="preserve">Watch M1 SMS/inbox across all actions</t>
  </si>
  <si>
    <t xml:space="preserve">ZERO FFN_A comms ever land on M1 after update</t>
  </si>
  <si>
    <t xml:space="preserve">L4</t>
  </si>
  <si>
    <t xml:space="preserve">Surfaces</t>
  </si>
  <si>
    <t xml:space="preserve">Profile + every screen showing mobile</t>
  </si>
  <si>
    <t xml:space="preserve">Walk all surfaces</t>
  </si>
  <si>
    <t xml:space="preserve">M2 everywhere; no stale M1 cached anywhere</t>
  </si>
  <si>
    <t xml:space="preserve">STAGE 3 — recycled number. M1 is now free; attach it to a NEW account FFN_B and prove isolation.</t>
  </si>
  <si>
    <t xml:space="preserve">R0</t>
  </si>
  <si>
    <t xml:space="preserve">Setup</t>
  </si>
  <si>
    <t xml:space="preserve">FFN_B</t>
  </si>
  <si>
    <t xml:space="preserve">New account with M1, E2</t>
  </si>
  <si>
    <t xml:space="preserve">Create FFN_B using M1 + E2</t>
  </si>
  <si>
    <t xml:space="preserve">FFN_B active on M1; FFN_A untouched (now on M2)</t>
  </si>
  <si>
    <t xml:space="preserve">R1</t>
  </si>
  <si>
    <t xml:space="preserve">Cash+Burn</t>
  </si>
  <si>
    <t xml:space="preserve">Repeat key Phase-1 bookings under FFN_B</t>
  </si>
  <si>
    <t xml:space="preserve">Book cash dom, burn dom, +1 to fly</t>
  </si>
  <si>
    <t xml:space="preserve">Bookings land under FFN_B only</t>
  </si>
  <si>
    <t xml:space="preserve">R2</t>
  </si>
  <si>
    <t xml:space="preserve">Isolation</t>
  </si>
  <si>
    <t xml:space="preserve">Retrieve-by-mobile with M1</t>
  </si>
  <si>
    <t xml:space="preserve">Enter M1 in retrieve flow</t>
  </si>
  <si>
    <t xml:space="preserve">Shows ONLY FFN_B bookings; ZERO FFN_A data</t>
  </si>
  <si>
    <t xml:space="preserve">R3</t>
  </si>
  <si>
    <t xml:space="preserve">Login with M1</t>
  </si>
  <si>
    <t xml:space="preserve">OTP / login via M1</t>
  </si>
  <si>
    <t xml:space="preserve">Lands on FFN_B only; FFN_A unreachable via M1</t>
  </si>
  <si>
    <t xml:space="preserve">R4</t>
  </si>
  <si>
    <t xml:space="preserve">Trip history under M1</t>
  </si>
  <si>
    <t xml:space="preserve">Open T.H. logged in as FFN_B</t>
  </si>
  <si>
    <t xml:space="preserve">Only FFN_B trips; no FFN_A trips bleed in</t>
  </si>
  <si>
    <t xml:space="preserve">R5</t>
  </si>
  <si>
    <t xml:space="preserve">Auto-tag + GST under M1</t>
  </si>
  <si>
    <t xml:space="preserve">Fly the FFN_B flight; fetch GST</t>
  </si>
  <si>
    <t xml:space="preserve">Earn + GST resolve to FFN_B, never FFN_A</t>
  </si>
  <si>
    <t xml:space="preserve">R6</t>
  </si>
  <si>
    <t xml:space="preserve">Reverse</t>
  </si>
  <si>
    <t xml:space="preserve">Confirm FFN_A still isolated</t>
  </si>
  <si>
    <t xml:space="preserve">Access FFN_A only via M2</t>
  </si>
  <si>
    <t xml:space="preserve">FFN_A reachable ONLY via M2; nothing via M1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</si>
</sst>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D9D9"/>
        <bgColor rgb="FFFCE4E4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CE9DA"/>
      </patternFill>
    </fill>
    <fill>
      <patternFill patternType="solid">
        <fgColor rgb="FFED7D31"/>
        <bgColor rgb="FFFF8080"/>
      </patternFill>
    </fill>
    <fill>
      <patternFill patternType="solid">
        <fgColor rgb="FFFCE9DA"/>
        <bgColor rgb="FFFCE4E4"/>
      </patternFill>
    </fill>
    <fill>
      <patternFill patternType="solid">
        <fgColor rgb="FFC00000"/>
        <bgColor rgb="FF800000"/>
      </patternFill>
    </fill>
    <fill>
      <patternFill patternType="solid">
        <fgColor rgb="FFFCE4E4"/>
        <bgColor rgb="FFFCE9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9DA"/>
      <rgbColor rgb="FF99CCFF"/>
      <rgbColor rgb="FFFF99CC"/>
      <rgbColor rgb="FFCC99FF"/>
      <rgbColor rgb="FFFCE4E4"/>
      <rgbColor rgb="FF2E75B6"/>
      <rgbColor rgb="FF33CCCC"/>
      <rgbColor rgb="FF99CC00"/>
      <rgbColor rgb="FFFFCC00"/>
      <rgbColor rgb="FFFF9900"/>
      <rgbColor rgb="FFED7D3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5"/>
    <col collapsed="false" customWidth="true" hidden="false" outlineLevel="0" max="3" min="3" style="1" width="13"/>
    <col collapsed="false" customWidth="true" hidden="false" outlineLevel="0" max="4" min="4" style="1" width="7"/>
    <col collapsed="false" customWidth="true" hidden="false" outlineLevel="0" max="5" min="5" style="1" width="20"/>
    <col collapsed="false" customWidth="true" hidden="false" outlineLevel="0" max="6" min="6" style="1" width="16"/>
    <col collapsed="false" customWidth="true" hidden="false" outlineLevel="0" max="7" min="7" style="1" width="9"/>
    <col collapsed="false" customWidth="true" hidden="false" outlineLevel="0" max="8" min="8" style="1" width="42"/>
    <col collapsed="false" customWidth="true" hidden="false" outlineLevel="0" max="9" min="9" style="1" width="8"/>
    <col collapsed="false" customWidth="true" hidden="false" outlineLevel="0" max="10" min="10" style="1" width="52"/>
    <col collapsed="false" customWidth="true" hidden="false" outlineLevel="0" max="11" min="11" style="1" width="12"/>
    <col collapsed="false" customWidth="true" hidden="false" outlineLevel="0" max="12" min="12" style="1" width="30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9.5" hidden="false" customHeight="true" outlineLevel="0" collapsed="false">
      <c r="A2" s="3" t="s">
        <v>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19.5" hidden="false" customHeight="true" outlineLevel="0" collapsed="false">
      <c r="A3" s="4" t="s">
        <v>13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customFormat="false" ht="15" hidden="false" customHeight="true" outlineLevel="0" collapsed="false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19</v>
      </c>
      <c r="G4" s="5" t="s">
        <v>20</v>
      </c>
      <c r="H4" s="5" t="s">
        <v>21</v>
      </c>
      <c r="I4" s="5" t="s">
        <v>20</v>
      </c>
      <c r="J4" s="5" t="s">
        <v>22</v>
      </c>
      <c r="K4" s="5" t="s">
        <v>23</v>
      </c>
      <c r="L4" s="5" t="s">
        <v>24</v>
      </c>
    </row>
    <row r="5" customFormat="false" ht="15" hidden="false" customHeight="true" outlineLevel="0" collapsed="false">
      <c r="A5" s="5" t="s">
        <v>25</v>
      </c>
      <c r="B5" s="5" t="s">
        <v>26</v>
      </c>
      <c r="C5" s="5" t="s">
        <v>27</v>
      </c>
      <c r="D5" s="5" t="s">
        <v>17</v>
      </c>
      <c r="E5" s="5" t="s">
        <v>28</v>
      </c>
      <c r="F5" s="5" t="s">
        <v>19</v>
      </c>
      <c r="G5" s="5" t="s">
        <v>20</v>
      </c>
      <c r="H5" s="5" t="s">
        <v>21</v>
      </c>
      <c r="I5" s="5" t="s">
        <v>20</v>
      </c>
      <c r="J5" s="5" t="s">
        <v>22</v>
      </c>
      <c r="K5" s="5" t="s">
        <v>23</v>
      </c>
      <c r="L5" s="5" t="s">
        <v>29</v>
      </c>
    </row>
    <row r="6" customFormat="false" ht="15" hidden="false" customHeight="true" outlineLevel="0" collapsed="false">
      <c r="A6" s="5" t="s">
        <v>30</v>
      </c>
      <c r="B6" s="5" t="s">
        <v>26</v>
      </c>
      <c r="C6" s="5" t="s">
        <v>31</v>
      </c>
      <c r="D6" s="5" t="s">
        <v>17</v>
      </c>
      <c r="E6" s="5" t="s">
        <v>32</v>
      </c>
      <c r="F6" s="5" t="s">
        <v>19</v>
      </c>
      <c r="G6" s="5" t="s">
        <v>20</v>
      </c>
      <c r="H6" s="5" t="s">
        <v>21</v>
      </c>
      <c r="I6" s="5" t="s">
        <v>20</v>
      </c>
      <c r="J6" s="5" t="s">
        <v>22</v>
      </c>
      <c r="K6" s="5" t="s">
        <v>23</v>
      </c>
      <c r="L6" s="5" t="s">
        <v>33</v>
      </c>
    </row>
    <row r="7" customFormat="false" ht="15" hidden="false" customHeight="true" outlineLevel="0" collapsed="false">
      <c r="A7" s="5" t="s">
        <v>34</v>
      </c>
      <c r="B7" s="5" t="s">
        <v>15</v>
      </c>
      <c r="C7" s="5" t="s">
        <v>35</v>
      </c>
      <c r="D7" s="5" t="s">
        <v>17</v>
      </c>
      <c r="E7" s="5" t="s">
        <v>36</v>
      </c>
      <c r="F7" s="5" t="s">
        <v>19</v>
      </c>
      <c r="G7" s="5" t="s">
        <v>20</v>
      </c>
      <c r="H7" s="5" t="s">
        <v>21</v>
      </c>
      <c r="I7" s="5" t="s">
        <v>20</v>
      </c>
      <c r="J7" s="5" t="s">
        <v>22</v>
      </c>
      <c r="K7" s="5" t="s">
        <v>23</v>
      </c>
      <c r="L7" s="5" t="s">
        <v>37</v>
      </c>
    </row>
    <row r="8" customFormat="false" ht="15" hidden="false" customHeight="true" outlineLevel="0" collapsed="false">
      <c r="A8" s="5" t="s">
        <v>38</v>
      </c>
      <c r="B8" s="5" t="s">
        <v>15</v>
      </c>
      <c r="C8" s="5" t="s">
        <v>39</v>
      </c>
      <c r="D8" s="5" t="s">
        <v>40</v>
      </c>
      <c r="E8" s="5" t="s">
        <v>41</v>
      </c>
      <c r="F8" s="5" t="s">
        <v>19</v>
      </c>
      <c r="G8" s="5" t="s">
        <v>20</v>
      </c>
      <c r="H8" s="5" t="s">
        <v>21</v>
      </c>
      <c r="I8" s="5" t="s">
        <v>20</v>
      </c>
      <c r="J8" s="5" t="s">
        <v>42</v>
      </c>
      <c r="K8" s="5" t="s">
        <v>23</v>
      </c>
      <c r="L8" s="5" t="s">
        <v>43</v>
      </c>
    </row>
    <row r="9" customFormat="false" ht="15" hidden="false" customHeight="true" outlineLevel="0" collapsed="false">
      <c r="A9" s="5" t="s">
        <v>44</v>
      </c>
      <c r="B9" s="5" t="s">
        <v>15</v>
      </c>
      <c r="C9" s="5" t="s">
        <v>45</v>
      </c>
      <c r="D9" s="5" t="s">
        <v>40</v>
      </c>
      <c r="E9" s="5" t="s">
        <v>36</v>
      </c>
      <c r="F9" s="5" t="s">
        <v>19</v>
      </c>
      <c r="G9" s="5" t="s">
        <v>20</v>
      </c>
      <c r="H9" s="5" t="s">
        <v>21</v>
      </c>
      <c r="I9" s="5" t="s">
        <v>20</v>
      </c>
      <c r="J9" s="5" t="s">
        <v>42</v>
      </c>
      <c r="K9" s="5" t="s">
        <v>23</v>
      </c>
      <c r="L9" s="5" t="s">
        <v>46</v>
      </c>
    </row>
    <row r="10" customFormat="false" ht="15" hidden="false" customHeight="true" outlineLevel="0" collapsed="false">
      <c r="A10" s="5" t="s">
        <v>47</v>
      </c>
      <c r="B10" s="5" t="s">
        <v>48</v>
      </c>
      <c r="C10" s="5" t="s">
        <v>49</v>
      </c>
      <c r="D10" s="5" t="s">
        <v>17</v>
      </c>
      <c r="E10" s="5" t="s">
        <v>41</v>
      </c>
      <c r="F10" s="5" t="s">
        <v>50</v>
      </c>
      <c r="G10" s="5" t="s">
        <v>20</v>
      </c>
      <c r="H10" s="5" t="s">
        <v>21</v>
      </c>
      <c r="I10" s="5" t="s">
        <v>20</v>
      </c>
      <c r="J10" s="5" t="s">
        <v>51</v>
      </c>
      <c r="K10" s="5" t="s">
        <v>23</v>
      </c>
      <c r="L10" s="5" t="s">
        <v>52</v>
      </c>
    </row>
    <row r="11" customFormat="false" ht="15" hidden="false" customHeight="true" outlineLevel="0" collapsed="false">
      <c r="A11" s="5" t="s">
        <v>53</v>
      </c>
      <c r="B11" s="5" t="s">
        <v>48</v>
      </c>
      <c r="C11" s="5" t="s">
        <v>54</v>
      </c>
      <c r="D11" s="5" t="s">
        <v>40</v>
      </c>
      <c r="E11" s="5" t="s">
        <v>41</v>
      </c>
      <c r="F11" s="5" t="s">
        <v>50</v>
      </c>
      <c r="G11" s="5" t="s">
        <v>20</v>
      </c>
      <c r="H11" s="5" t="s">
        <v>21</v>
      </c>
      <c r="I11" s="5" t="s">
        <v>20</v>
      </c>
      <c r="J11" s="5" t="s">
        <v>55</v>
      </c>
      <c r="K11" s="5" t="s">
        <v>23</v>
      </c>
      <c r="L11" s="5" t="s">
        <v>56</v>
      </c>
    </row>
    <row r="12" customFormat="false" ht="15" hidden="false" customHeight="true" outlineLevel="0" collapsed="false">
      <c r="A12" s="5" t="s">
        <v>57</v>
      </c>
      <c r="B12" s="5" t="s">
        <v>58</v>
      </c>
      <c r="C12" s="5" t="s">
        <v>59</v>
      </c>
      <c r="D12" s="5" t="s">
        <v>17</v>
      </c>
      <c r="E12" s="5" t="s">
        <v>41</v>
      </c>
      <c r="F12" s="5" t="s">
        <v>60</v>
      </c>
      <c r="G12" s="5" t="s">
        <v>20</v>
      </c>
      <c r="H12" s="5" t="s">
        <v>21</v>
      </c>
      <c r="I12" s="5" t="s">
        <v>20</v>
      </c>
      <c r="J12" s="5" t="s">
        <v>61</v>
      </c>
      <c r="K12" s="5" t="s">
        <v>23</v>
      </c>
      <c r="L12" s="5" t="s">
        <v>62</v>
      </c>
    </row>
    <row r="13" customFormat="false" ht="21.75" hidden="false" customHeight="true" outlineLevel="0" collapsed="false">
      <c r="A13" s="5" t="s">
        <v>63</v>
      </c>
      <c r="B13" s="5" t="s">
        <v>64</v>
      </c>
      <c r="C13" s="5" t="s">
        <v>65</v>
      </c>
      <c r="D13" s="5" t="s">
        <v>17</v>
      </c>
      <c r="E13" s="5" t="s">
        <v>66</v>
      </c>
      <c r="F13" s="5" t="s">
        <v>60</v>
      </c>
      <c r="G13" s="5" t="s">
        <v>20</v>
      </c>
      <c r="H13" s="5" t="s">
        <v>21</v>
      </c>
      <c r="I13" s="5" t="s">
        <v>20</v>
      </c>
      <c r="J13" s="5" t="s">
        <v>67</v>
      </c>
      <c r="K13" s="5" t="s">
        <v>23</v>
      </c>
      <c r="L13" s="5" t="s">
        <v>68</v>
      </c>
    </row>
    <row r="14" customFormat="false" ht="15" hidden="false" customHeight="true" outlineLevel="0" collapsed="false">
      <c r="A14" s="5" t="s">
        <v>69</v>
      </c>
      <c r="B14" s="5" t="s">
        <v>70</v>
      </c>
      <c r="C14" s="5" t="s">
        <v>71</v>
      </c>
      <c r="D14" s="5" t="s">
        <v>17</v>
      </c>
      <c r="E14" s="5" t="s">
        <v>41</v>
      </c>
      <c r="F14" s="5" t="s">
        <v>60</v>
      </c>
      <c r="G14" s="5" t="s">
        <v>20</v>
      </c>
      <c r="H14" s="5" t="s">
        <v>21</v>
      </c>
      <c r="I14" s="5" t="s">
        <v>20</v>
      </c>
      <c r="J14" s="5" t="s">
        <v>72</v>
      </c>
      <c r="K14" s="5" t="s">
        <v>23</v>
      </c>
      <c r="L14" s="5" t="s">
        <v>73</v>
      </c>
    </row>
    <row r="15" customFormat="false" ht="15" hidden="false" customHeight="true" outlineLevel="0" collapsed="false">
      <c r="A15" s="5" t="s">
        <v>74</v>
      </c>
      <c r="B15" s="5" t="s">
        <v>70</v>
      </c>
      <c r="C15" s="5" t="s">
        <v>75</v>
      </c>
      <c r="D15" s="5" t="s">
        <v>40</v>
      </c>
      <c r="E15" s="5" t="s">
        <v>41</v>
      </c>
      <c r="F15" s="5" t="s">
        <v>60</v>
      </c>
      <c r="G15" s="5" t="s">
        <v>20</v>
      </c>
      <c r="H15" s="5" t="s">
        <v>21</v>
      </c>
      <c r="I15" s="5" t="s">
        <v>20</v>
      </c>
      <c r="J15" s="5" t="s">
        <v>76</v>
      </c>
      <c r="K15" s="5" t="s">
        <v>23</v>
      </c>
      <c r="L15" s="5" t="s">
        <v>77</v>
      </c>
    </row>
    <row r="16" customFormat="false" ht="15" hidden="false" customHeight="true" outlineLevel="0" collapsed="false">
      <c r="A16" s="5" t="s">
        <v>78</v>
      </c>
      <c r="B16" s="5" t="s">
        <v>79</v>
      </c>
      <c r="C16" s="5" t="s">
        <v>80</v>
      </c>
      <c r="D16" s="5" t="s">
        <v>17</v>
      </c>
      <c r="E16" s="5" t="s">
        <v>41</v>
      </c>
      <c r="F16" s="5" t="s">
        <v>81</v>
      </c>
      <c r="G16" s="5" t="s">
        <v>20</v>
      </c>
      <c r="H16" s="5" t="s">
        <v>21</v>
      </c>
      <c r="I16" s="5" t="s">
        <v>20</v>
      </c>
      <c r="J16" s="5" t="s">
        <v>82</v>
      </c>
      <c r="K16" s="5" t="s">
        <v>23</v>
      </c>
      <c r="L16" s="5" t="s">
        <v>83</v>
      </c>
    </row>
    <row r="17" customFormat="false" ht="15" hidden="false" customHeight="true" outlineLevel="0" collapsed="false">
      <c r="A17" s="5" t="s">
        <v>84</v>
      </c>
      <c r="B17" s="5" t="s">
        <v>79</v>
      </c>
      <c r="C17" s="5" t="s">
        <v>85</v>
      </c>
      <c r="D17" s="5" t="s">
        <v>40</v>
      </c>
      <c r="E17" s="5" t="s">
        <v>41</v>
      </c>
      <c r="F17" s="5" t="s">
        <v>81</v>
      </c>
      <c r="G17" s="5" t="s">
        <v>20</v>
      </c>
      <c r="H17" s="5" t="s">
        <v>21</v>
      </c>
      <c r="I17" s="5" t="s">
        <v>20</v>
      </c>
      <c r="J17" s="5" t="s">
        <v>82</v>
      </c>
      <c r="K17" s="5" t="s">
        <v>23</v>
      </c>
      <c r="L17" s="5" t="s">
        <v>86</v>
      </c>
    </row>
    <row r="18" customFormat="false" ht="15" hidden="false" customHeight="true" outlineLevel="0" collapsed="false">
      <c r="A18" s="5" t="s">
        <v>87</v>
      </c>
      <c r="B18" s="5" t="s">
        <v>79</v>
      </c>
      <c r="C18" s="5" t="s">
        <v>88</v>
      </c>
      <c r="D18" s="5" t="s">
        <v>17</v>
      </c>
      <c r="E18" s="5" t="s">
        <v>41</v>
      </c>
      <c r="F18" s="5" t="s">
        <v>19</v>
      </c>
      <c r="G18" s="5" t="s">
        <v>20</v>
      </c>
      <c r="H18" s="5" t="s">
        <v>21</v>
      </c>
      <c r="I18" s="5" t="s">
        <v>20</v>
      </c>
      <c r="J18" s="5" t="s">
        <v>89</v>
      </c>
      <c r="K18" s="5" t="s">
        <v>23</v>
      </c>
      <c r="L18" s="5" t="s">
        <v>90</v>
      </c>
    </row>
    <row r="19" customFormat="false" ht="15" hidden="false" customHeight="true" outlineLevel="0" collapsed="false">
      <c r="A19" s="5" t="s">
        <v>91</v>
      </c>
      <c r="B19" s="5" t="s">
        <v>79</v>
      </c>
      <c r="C19" s="5" t="s">
        <v>92</v>
      </c>
      <c r="D19" s="5" t="s">
        <v>40</v>
      </c>
      <c r="E19" s="5" t="s">
        <v>41</v>
      </c>
      <c r="F19" s="5" t="s">
        <v>19</v>
      </c>
      <c r="G19" s="5" t="s">
        <v>20</v>
      </c>
      <c r="H19" s="5" t="s">
        <v>21</v>
      </c>
      <c r="I19" s="5" t="s">
        <v>20</v>
      </c>
      <c r="J19" s="5" t="s">
        <v>89</v>
      </c>
      <c r="K19" s="5" t="s">
        <v>23</v>
      </c>
      <c r="L19" s="5" t="s">
        <v>93</v>
      </c>
    </row>
    <row r="20" customFormat="false" ht="15" hidden="false" customHeight="true" outlineLevel="0" collapsed="false">
      <c r="A20" s="5" t="s">
        <v>94</v>
      </c>
      <c r="B20" s="5" t="s">
        <v>95</v>
      </c>
      <c r="C20" s="5" t="s">
        <v>96</v>
      </c>
      <c r="D20" s="5" t="s">
        <v>17</v>
      </c>
      <c r="E20" s="5" t="s">
        <v>41</v>
      </c>
      <c r="F20" s="5" t="s">
        <v>19</v>
      </c>
      <c r="G20" s="5" t="s">
        <v>20</v>
      </c>
      <c r="H20" s="5" t="s">
        <v>97</v>
      </c>
      <c r="I20" s="5" t="s">
        <v>20</v>
      </c>
      <c r="J20" s="5" t="s">
        <v>98</v>
      </c>
      <c r="K20" s="5" t="s">
        <v>23</v>
      </c>
      <c r="L20" s="5" t="s">
        <v>99</v>
      </c>
    </row>
    <row r="21" customFormat="false" ht="15" hidden="false" customHeight="true" outlineLevel="0" collapsed="false">
      <c r="A21" s="6" t="s">
        <v>100</v>
      </c>
      <c r="B21" s="6" t="s">
        <v>101</v>
      </c>
      <c r="C21" s="6" t="s">
        <v>102</v>
      </c>
      <c r="D21" s="6" t="s">
        <v>17</v>
      </c>
      <c r="E21" s="6" t="s">
        <v>41</v>
      </c>
      <c r="F21" s="6" t="s">
        <v>19</v>
      </c>
      <c r="G21" s="6" t="s">
        <v>20</v>
      </c>
      <c r="H21" s="6" t="s">
        <v>21</v>
      </c>
      <c r="I21" s="6" t="s">
        <v>20</v>
      </c>
      <c r="J21" s="6" t="s">
        <v>103</v>
      </c>
      <c r="K21" s="6" t="s">
        <v>104</v>
      </c>
      <c r="L21" s="6" t="s">
        <v>105</v>
      </c>
    </row>
    <row r="22" customFormat="false" ht="19.5" hidden="false" customHeight="true" outlineLevel="0" collapsed="false">
      <c r="A22" s="7" t="s">
        <v>106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</row>
    <row r="23" customFormat="false" ht="21.75" hidden="false" customHeight="true" outlineLevel="0" collapsed="false">
      <c r="A23" s="8" t="s">
        <v>107</v>
      </c>
      <c r="B23" s="8" t="s">
        <v>108</v>
      </c>
      <c r="C23" s="8" t="s">
        <v>109</v>
      </c>
      <c r="D23" s="8" t="s">
        <v>102</v>
      </c>
      <c r="E23" s="8" t="s">
        <v>110</v>
      </c>
      <c r="F23" s="8" t="s">
        <v>102</v>
      </c>
      <c r="G23" s="8" t="s">
        <v>111</v>
      </c>
      <c r="H23" s="8" t="s">
        <v>112</v>
      </c>
      <c r="I23" s="8" t="s">
        <v>113</v>
      </c>
      <c r="J23" s="8" t="s">
        <v>114</v>
      </c>
      <c r="K23" s="8"/>
      <c r="L23" s="8"/>
    </row>
    <row r="24" customFormat="false" ht="19.5" hidden="false" customHeight="true" outlineLevel="0" collapsed="false">
      <c r="A24" s="4" t="s">
        <v>115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customFormat="false" ht="15" hidden="false" customHeight="true" outlineLevel="0" collapsed="false">
      <c r="A25" s="5" t="s">
        <v>116</v>
      </c>
      <c r="B25" s="5" t="s">
        <v>117</v>
      </c>
      <c r="C25" s="5" t="s">
        <v>118</v>
      </c>
      <c r="D25" s="5" t="s">
        <v>17</v>
      </c>
      <c r="E25" s="5" t="s">
        <v>119</v>
      </c>
      <c r="F25" s="5" t="s">
        <v>102</v>
      </c>
      <c r="G25" s="5" t="s">
        <v>113</v>
      </c>
      <c r="H25" s="5" t="s">
        <v>120</v>
      </c>
      <c r="I25" s="5" t="s">
        <v>113</v>
      </c>
      <c r="J25" s="5" t="s">
        <v>121</v>
      </c>
      <c r="K25" s="5"/>
      <c r="L25" s="5"/>
    </row>
    <row r="26" customFormat="false" ht="15" hidden="false" customHeight="true" outlineLevel="0" collapsed="false">
      <c r="A26" s="5" t="s">
        <v>122</v>
      </c>
      <c r="B26" s="5" t="s">
        <v>117</v>
      </c>
      <c r="C26" s="5" t="s">
        <v>123</v>
      </c>
      <c r="D26" s="5" t="s">
        <v>17</v>
      </c>
      <c r="E26" s="5" t="s">
        <v>124</v>
      </c>
      <c r="F26" s="5" t="s">
        <v>102</v>
      </c>
      <c r="G26" s="5" t="s">
        <v>113</v>
      </c>
      <c r="H26" s="5" t="s">
        <v>125</v>
      </c>
      <c r="I26" s="5" t="s">
        <v>113</v>
      </c>
      <c r="J26" s="5" t="s">
        <v>126</v>
      </c>
      <c r="K26" s="5"/>
      <c r="L26" s="5"/>
    </row>
    <row r="27" customFormat="false" ht="15" hidden="false" customHeight="true" outlineLevel="0" collapsed="false">
      <c r="A27" s="5" t="s">
        <v>127</v>
      </c>
      <c r="B27" s="5" t="s">
        <v>117</v>
      </c>
      <c r="C27" s="5" t="s">
        <v>128</v>
      </c>
      <c r="D27" s="5" t="s">
        <v>17</v>
      </c>
      <c r="E27" s="5" t="s">
        <v>129</v>
      </c>
      <c r="F27" s="5" t="s">
        <v>102</v>
      </c>
      <c r="G27" s="5" t="s">
        <v>113</v>
      </c>
      <c r="H27" s="5" t="s">
        <v>125</v>
      </c>
      <c r="I27" s="5" t="s">
        <v>113</v>
      </c>
      <c r="J27" s="5" t="s">
        <v>126</v>
      </c>
      <c r="K27" s="5"/>
      <c r="L27" s="5"/>
    </row>
    <row r="28" customFormat="false" ht="15" hidden="false" customHeight="true" outlineLevel="0" collapsed="false">
      <c r="A28" s="5" t="s">
        <v>130</v>
      </c>
      <c r="B28" s="5" t="s">
        <v>117</v>
      </c>
      <c r="C28" s="5" t="s">
        <v>131</v>
      </c>
      <c r="D28" s="5" t="s">
        <v>17</v>
      </c>
      <c r="E28" s="5" t="s">
        <v>36</v>
      </c>
      <c r="F28" s="5" t="s">
        <v>102</v>
      </c>
      <c r="G28" s="5" t="s">
        <v>113</v>
      </c>
      <c r="H28" s="5" t="s">
        <v>125</v>
      </c>
      <c r="I28" s="5" t="s">
        <v>113</v>
      </c>
      <c r="J28" s="5" t="s">
        <v>126</v>
      </c>
      <c r="K28" s="5"/>
      <c r="L28" s="5"/>
    </row>
    <row r="29" customFormat="false" ht="15" hidden="false" customHeight="true" outlineLevel="0" collapsed="false">
      <c r="A29" s="5" t="s">
        <v>132</v>
      </c>
      <c r="B29" s="5" t="s">
        <v>133</v>
      </c>
      <c r="C29" s="5" t="s">
        <v>134</v>
      </c>
      <c r="D29" s="5" t="s">
        <v>40</v>
      </c>
      <c r="E29" s="5" t="s">
        <v>41</v>
      </c>
      <c r="F29" s="5" t="s">
        <v>102</v>
      </c>
      <c r="G29" s="5" t="s">
        <v>113</v>
      </c>
      <c r="H29" s="5" t="s">
        <v>125</v>
      </c>
      <c r="I29" s="5" t="s">
        <v>113</v>
      </c>
      <c r="J29" s="5" t="s">
        <v>135</v>
      </c>
      <c r="K29" s="5"/>
      <c r="L29" s="5"/>
    </row>
    <row r="30" customFormat="false" ht="15" hidden="false" customHeight="true" outlineLevel="0" collapsed="false">
      <c r="A30" s="5" t="s">
        <v>136</v>
      </c>
      <c r="B30" s="5" t="s">
        <v>133</v>
      </c>
      <c r="C30" s="5" t="s">
        <v>137</v>
      </c>
      <c r="D30" s="5" t="s">
        <v>40</v>
      </c>
      <c r="E30" s="5" t="s">
        <v>36</v>
      </c>
      <c r="F30" s="5" t="s">
        <v>102</v>
      </c>
      <c r="G30" s="5" t="s">
        <v>113</v>
      </c>
      <c r="H30" s="5" t="s">
        <v>125</v>
      </c>
      <c r="I30" s="5" t="s">
        <v>113</v>
      </c>
      <c r="J30" s="5" t="s">
        <v>135</v>
      </c>
      <c r="K30" s="5"/>
      <c r="L30" s="5"/>
    </row>
    <row r="31" customFormat="false" ht="15" hidden="false" customHeight="true" outlineLevel="0" collapsed="false">
      <c r="A31" s="5" t="s">
        <v>138</v>
      </c>
      <c r="B31" s="5" t="s">
        <v>139</v>
      </c>
      <c r="C31" s="5" t="s">
        <v>118</v>
      </c>
      <c r="D31" s="5" t="s">
        <v>17</v>
      </c>
      <c r="E31" s="5" t="s">
        <v>41</v>
      </c>
      <c r="F31" s="5" t="s">
        <v>102</v>
      </c>
      <c r="G31" s="5" t="s">
        <v>113</v>
      </c>
      <c r="H31" s="5" t="s">
        <v>140</v>
      </c>
      <c r="I31" s="5" t="s">
        <v>113</v>
      </c>
      <c r="J31" s="5" t="s">
        <v>141</v>
      </c>
      <c r="K31" s="5"/>
      <c r="L31" s="5"/>
    </row>
    <row r="32" customFormat="false" ht="15" hidden="false" customHeight="true" outlineLevel="0" collapsed="false">
      <c r="A32" s="5" t="s">
        <v>142</v>
      </c>
      <c r="B32" s="5" t="s">
        <v>139</v>
      </c>
      <c r="C32" s="5" t="s">
        <v>131</v>
      </c>
      <c r="D32" s="5" t="s">
        <v>17</v>
      </c>
      <c r="E32" s="5" t="s">
        <v>36</v>
      </c>
      <c r="F32" s="5" t="s">
        <v>102</v>
      </c>
      <c r="G32" s="5" t="s">
        <v>113</v>
      </c>
      <c r="H32" s="5" t="s">
        <v>140</v>
      </c>
      <c r="I32" s="5" t="s">
        <v>113</v>
      </c>
      <c r="J32" s="5" t="s">
        <v>141</v>
      </c>
      <c r="K32" s="5"/>
      <c r="L32" s="5"/>
    </row>
    <row r="33" customFormat="false" ht="15" hidden="false" customHeight="true" outlineLevel="0" collapsed="false">
      <c r="A33" s="5" t="s">
        <v>143</v>
      </c>
      <c r="B33" s="5" t="s">
        <v>139</v>
      </c>
      <c r="C33" s="5" t="s">
        <v>134</v>
      </c>
      <c r="D33" s="5" t="s">
        <v>40</v>
      </c>
      <c r="E33" s="5" t="s">
        <v>41</v>
      </c>
      <c r="F33" s="5" t="s">
        <v>102</v>
      </c>
      <c r="G33" s="5" t="s">
        <v>113</v>
      </c>
      <c r="H33" s="5" t="s">
        <v>140</v>
      </c>
      <c r="I33" s="5" t="s">
        <v>113</v>
      </c>
      <c r="J33" s="5" t="s">
        <v>141</v>
      </c>
      <c r="K33" s="5"/>
      <c r="L33" s="5"/>
    </row>
    <row r="34" customFormat="false" ht="15" hidden="false" customHeight="true" outlineLevel="0" collapsed="false">
      <c r="A34" s="5" t="s">
        <v>144</v>
      </c>
      <c r="B34" s="5" t="s">
        <v>139</v>
      </c>
      <c r="C34" s="5" t="s">
        <v>137</v>
      </c>
      <c r="D34" s="5" t="s">
        <v>40</v>
      </c>
      <c r="E34" s="5" t="s">
        <v>36</v>
      </c>
      <c r="F34" s="5" t="s">
        <v>102</v>
      </c>
      <c r="G34" s="5" t="s">
        <v>113</v>
      </c>
      <c r="H34" s="5" t="s">
        <v>140</v>
      </c>
      <c r="I34" s="5" t="s">
        <v>113</v>
      </c>
      <c r="J34" s="5" t="s">
        <v>141</v>
      </c>
      <c r="K34" s="5"/>
      <c r="L34" s="5"/>
    </row>
    <row r="35" customFormat="false" ht="15" hidden="false" customHeight="true" outlineLevel="0" collapsed="false">
      <c r="A35" s="5" t="s">
        <v>145</v>
      </c>
      <c r="B35" s="5" t="s">
        <v>48</v>
      </c>
      <c r="C35" s="5" t="s">
        <v>146</v>
      </c>
      <c r="D35" s="5" t="s">
        <v>17</v>
      </c>
      <c r="E35" s="5" t="s">
        <v>41</v>
      </c>
      <c r="F35" s="5" t="s">
        <v>102</v>
      </c>
      <c r="G35" s="5" t="s">
        <v>113</v>
      </c>
      <c r="H35" s="5" t="s">
        <v>147</v>
      </c>
      <c r="I35" s="5" t="s">
        <v>113</v>
      </c>
      <c r="J35" s="5" t="s">
        <v>148</v>
      </c>
      <c r="K35" s="5"/>
      <c r="L35" s="5"/>
    </row>
    <row r="36" customFormat="false" ht="15" hidden="false" customHeight="true" outlineLevel="0" collapsed="false">
      <c r="A36" s="5" t="s">
        <v>149</v>
      </c>
      <c r="B36" s="5" t="s">
        <v>48</v>
      </c>
      <c r="C36" s="5" t="s">
        <v>150</v>
      </c>
      <c r="D36" s="5" t="s">
        <v>40</v>
      </c>
      <c r="E36" s="5" t="s">
        <v>41</v>
      </c>
      <c r="F36" s="5" t="s">
        <v>102</v>
      </c>
      <c r="G36" s="5" t="s">
        <v>113</v>
      </c>
      <c r="H36" s="5" t="s">
        <v>147</v>
      </c>
      <c r="I36" s="5" t="s">
        <v>113</v>
      </c>
      <c r="J36" s="5" t="s">
        <v>151</v>
      </c>
      <c r="K36" s="5"/>
      <c r="L36" s="5"/>
    </row>
    <row r="37" customFormat="false" ht="15" hidden="false" customHeight="true" outlineLevel="0" collapsed="false">
      <c r="A37" s="5" t="s">
        <v>152</v>
      </c>
      <c r="B37" s="5" t="s">
        <v>58</v>
      </c>
      <c r="C37" s="5" t="s">
        <v>153</v>
      </c>
      <c r="D37" s="5" t="s">
        <v>17</v>
      </c>
      <c r="E37" s="5" t="s">
        <v>41</v>
      </c>
      <c r="F37" s="5" t="s">
        <v>102</v>
      </c>
      <c r="G37" s="5" t="s">
        <v>113</v>
      </c>
      <c r="H37" s="5" t="s">
        <v>154</v>
      </c>
      <c r="I37" s="5" t="s">
        <v>113</v>
      </c>
      <c r="J37" s="5" t="s">
        <v>155</v>
      </c>
      <c r="K37" s="5"/>
      <c r="L37" s="5"/>
    </row>
    <row r="38" customFormat="false" ht="15" hidden="false" customHeight="true" outlineLevel="0" collapsed="false">
      <c r="A38" s="5" t="s">
        <v>156</v>
      </c>
      <c r="B38" s="5" t="s">
        <v>64</v>
      </c>
      <c r="C38" s="5" t="s">
        <v>157</v>
      </c>
      <c r="D38" s="5" t="s">
        <v>17</v>
      </c>
      <c r="E38" s="5" t="s">
        <v>41</v>
      </c>
      <c r="F38" s="5" t="s">
        <v>102</v>
      </c>
      <c r="G38" s="5" t="s">
        <v>113</v>
      </c>
      <c r="H38" s="5" t="s">
        <v>158</v>
      </c>
      <c r="I38" s="5" t="s">
        <v>113</v>
      </c>
      <c r="J38" s="5" t="s">
        <v>159</v>
      </c>
      <c r="K38" s="5"/>
      <c r="L38" s="5"/>
    </row>
    <row r="39" customFormat="false" ht="15" hidden="false" customHeight="true" outlineLevel="0" collapsed="false">
      <c r="A39" s="5" t="s">
        <v>160</v>
      </c>
      <c r="B39" s="5" t="s">
        <v>70</v>
      </c>
      <c r="C39" s="5" t="s">
        <v>161</v>
      </c>
      <c r="D39" s="5" t="s">
        <v>17</v>
      </c>
      <c r="E39" s="5" t="s">
        <v>41</v>
      </c>
      <c r="F39" s="5" t="s">
        <v>102</v>
      </c>
      <c r="G39" s="5" t="s">
        <v>113</v>
      </c>
      <c r="H39" s="5" t="s">
        <v>162</v>
      </c>
      <c r="I39" s="5" t="s">
        <v>113</v>
      </c>
      <c r="J39" s="5" t="s">
        <v>163</v>
      </c>
      <c r="K39" s="5"/>
      <c r="L39" s="5"/>
    </row>
    <row r="40" customFormat="false" ht="15" hidden="false" customHeight="true" outlineLevel="0" collapsed="false">
      <c r="A40" s="5" t="s">
        <v>164</v>
      </c>
      <c r="B40" s="5" t="s">
        <v>70</v>
      </c>
      <c r="C40" s="5" t="s">
        <v>165</v>
      </c>
      <c r="D40" s="5" t="s">
        <v>40</v>
      </c>
      <c r="E40" s="5" t="s">
        <v>41</v>
      </c>
      <c r="F40" s="5" t="s">
        <v>102</v>
      </c>
      <c r="G40" s="5" t="s">
        <v>113</v>
      </c>
      <c r="H40" s="5" t="s">
        <v>162</v>
      </c>
      <c r="I40" s="5" t="s">
        <v>113</v>
      </c>
      <c r="J40" s="5" t="s">
        <v>166</v>
      </c>
      <c r="K40" s="5"/>
      <c r="L40" s="5"/>
    </row>
    <row r="41" customFormat="false" ht="15" hidden="false" customHeight="true" outlineLevel="0" collapsed="false">
      <c r="A41" s="5" t="s">
        <v>167</v>
      </c>
      <c r="B41" s="5" t="s">
        <v>79</v>
      </c>
      <c r="C41" s="5" t="s">
        <v>168</v>
      </c>
      <c r="D41" s="5" t="s">
        <v>169</v>
      </c>
      <c r="E41" s="5" t="s">
        <v>102</v>
      </c>
      <c r="F41" s="5" t="s">
        <v>102</v>
      </c>
      <c r="G41" s="5" t="s">
        <v>113</v>
      </c>
      <c r="H41" s="5" t="s">
        <v>170</v>
      </c>
      <c r="I41" s="5" t="s">
        <v>113</v>
      </c>
      <c r="J41" s="5" t="s">
        <v>171</v>
      </c>
      <c r="K41" s="5"/>
      <c r="L41" s="5"/>
    </row>
    <row r="42" customFormat="false" ht="15" hidden="false" customHeight="true" outlineLevel="0" collapsed="false">
      <c r="A42" s="5" t="s">
        <v>172</v>
      </c>
      <c r="B42" s="5" t="s">
        <v>79</v>
      </c>
      <c r="C42" s="5" t="s">
        <v>173</v>
      </c>
      <c r="D42" s="5" t="s">
        <v>17</v>
      </c>
      <c r="E42" s="5" t="s">
        <v>41</v>
      </c>
      <c r="F42" s="5" t="s">
        <v>102</v>
      </c>
      <c r="G42" s="5" t="s">
        <v>113</v>
      </c>
      <c r="H42" s="5" t="s">
        <v>174</v>
      </c>
      <c r="I42" s="5" t="s">
        <v>113</v>
      </c>
      <c r="J42" s="5" t="s">
        <v>175</v>
      </c>
      <c r="K42" s="5"/>
      <c r="L42" s="5"/>
    </row>
    <row r="43" customFormat="false" ht="15" hidden="false" customHeight="true" outlineLevel="0" collapsed="false">
      <c r="A43" s="5" t="s">
        <v>176</v>
      </c>
      <c r="B43" s="5" t="s">
        <v>79</v>
      </c>
      <c r="C43" s="5" t="s">
        <v>177</v>
      </c>
      <c r="D43" s="5" t="s">
        <v>40</v>
      </c>
      <c r="E43" s="5" t="s">
        <v>41</v>
      </c>
      <c r="F43" s="5" t="s">
        <v>102</v>
      </c>
      <c r="G43" s="5" t="s">
        <v>113</v>
      </c>
      <c r="H43" s="5" t="s">
        <v>178</v>
      </c>
      <c r="I43" s="5" t="s">
        <v>113</v>
      </c>
      <c r="J43" s="5" t="s">
        <v>175</v>
      </c>
      <c r="K43" s="5"/>
      <c r="L43" s="5"/>
    </row>
    <row r="44" customFormat="false" ht="15" hidden="false" customHeight="true" outlineLevel="0" collapsed="false">
      <c r="A44" s="5" t="s">
        <v>179</v>
      </c>
      <c r="B44" s="5" t="s">
        <v>95</v>
      </c>
      <c r="C44" s="5" t="s">
        <v>180</v>
      </c>
      <c r="D44" s="5" t="s">
        <v>17</v>
      </c>
      <c r="E44" s="5" t="s">
        <v>41</v>
      </c>
      <c r="F44" s="5" t="s">
        <v>102</v>
      </c>
      <c r="G44" s="5" t="s">
        <v>113</v>
      </c>
      <c r="H44" s="5" t="s">
        <v>181</v>
      </c>
      <c r="I44" s="5" t="s">
        <v>113</v>
      </c>
      <c r="J44" s="5" t="s">
        <v>182</v>
      </c>
      <c r="K44" s="5"/>
      <c r="L44" s="5"/>
    </row>
    <row r="45" customFormat="false" ht="15" hidden="false" customHeight="true" outlineLevel="0" collapsed="false">
      <c r="A45" s="5" t="s">
        <v>183</v>
      </c>
      <c r="B45" s="5" t="s">
        <v>101</v>
      </c>
      <c r="C45" s="5" t="s">
        <v>184</v>
      </c>
      <c r="D45" s="5" t="s">
        <v>17</v>
      </c>
      <c r="E45" s="5" t="s">
        <v>41</v>
      </c>
      <c r="F45" s="5" t="s">
        <v>102</v>
      </c>
      <c r="G45" s="5" t="s">
        <v>113</v>
      </c>
      <c r="H45" s="5" t="s">
        <v>185</v>
      </c>
      <c r="I45" s="5" t="s">
        <v>113</v>
      </c>
      <c r="J45" s="5" t="s">
        <v>186</v>
      </c>
      <c r="K45" s="5"/>
      <c r="L45" s="5"/>
    </row>
    <row r="47" customFormat="false" ht="15" hidden="false" customHeight="true" outlineLevel="0" collapsed="false">
      <c r="B47" s="9" t="s">
        <v>187</v>
      </c>
    </row>
    <row r="48" customFormat="false" ht="15" hidden="false" customHeight="true" outlineLevel="0" collapsed="false">
      <c r="B48" s="10" t="s">
        <v>23</v>
      </c>
      <c r="C48" s="10" t="n">
        <f aca="false">COUNTIF(K2:K42,"PASS")</f>
        <v>17</v>
      </c>
    </row>
    <row r="49" customFormat="false" ht="15" hidden="false" customHeight="true" outlineLevel="0" collapsed="false">
      <c r="B49" s="10" t="s">
        <v>188</v>
      </c>
      <c r="C49" s="10" t="n">
        <f aca="false">COUNTIF(K2:K43,"FAIL")</f>
        <v>0</v>
      </c>
    </row>
    <row r="50" customFormat="false" ht="15" hidden="false" customHeight="true" outlineLevel="0" collapsed="false">
      <c r="B50" s="10" t="s">
        <v>189</v>
      </c>
      <c r="C50" s="10" t="n">
        <f aca="false">COUNTIF(K2:K44,"BLOCKED")</f>
        <v>0</v>
      </c>
    </row>
    <row r="51" customFormat="false" ht="15" hidden="false" customHeight="true" outlineLevel="0" collapsed="false">
      <c r="B51" s="10" t="s">
        <v>104</v>
      </c>
      <c r="C51" s="10" t="n">
        <f aca="false">COUNTIF(K2:K45,"Not run")</f>
        <v>1</v>
      </c>
    </row>
  </sheetData>
  <mergeCells count="4">
    <mergeCell ref="A2:L2"/>
    <mergeCell ref="A3:L3"/>
    <mergeCell ref="A22:L22"/>
    <mergeCell ref="A24:L24"/>
  </mergeCells>
  <dataValidations count="1">
    <dataValidation allowBlank="true" errorStyle="stop" operator="between" showDropDown="false" showErrorMessage="false" showInputMessage="false" sqref="K2:K51" type="list">
      <formula1>"Not run,PASS,FAIL,BLOCKED,N/A"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5"/>
    <col collapsed="false" customWidth="true" hidden="false" outlineLevel="0" max="3" min="3" style="1" width="13"/>
    <col collapsed="false" customWidth="true" hidden="false" outlineLevel="0" max="4" min="4" style="1" width="7"/>
    <col collapsed="false" customWidth="true" hidden="false" outlineLevel="0" max="5" min="5" style="1" width="20"/>
    <col collapsed="false" customWidth="true" hidden="false" outlineLevel="0" max="6" min="6" style="1" width="16"/>
    <col collapsed="false" customWidth="true" hidden="false" outlineLevel="0" max="7" min="7" style="1" width="9"/>
    <col collapsed="false" customWidth="true" hidden="false" outlineLevel="0" max="8" min="8" style="1" width="42"/>
    <col collapsed="false" customWidth="true" hidden="false" outlineLevel="0" max="9" min="9" style="1" width="8"/>
    <col collapsed="false" customWidth="true" hidden="false" outlineLevel="0" max="10" min="10" style="1" width="52"/>
    <col collapsed="false" customWidth="true" hidden="false" outlineLevel="0" max="11" min="11" style="1" width="12"/>
    <col collapsed="false" customWidth="true" hidden="false" outlineLevel="0" max="12" min="12" style="1" width="30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9.5" hidden="false" customHeight="true" outlineLevel="0" collapsed="false">
      <c r="A2" s="3" t="s">
        <v>190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21.75" hidden="false" customHeight="true" outlineLevel="0" collapsed="false">
      <c r="A3" s="5" t="s">
        <v>191</v>
      </c>
      <c r="B3" s="5" t="s">
        <v>192</v>
      </c>
      <c r="C3" s="5"/>
      <c r="D3" s="5" t="s">
        <v>102</v>
      </c>
      <c r="E3" s="5" t="s">
        <v>193</v>
      </c>
      <c r="F3" s="5" t="s">
        <v>102</v>
      </c>
      <c r="G3" s="5" t="s">
        <v>20</v>
      </c>
      <c r="H3" s="5" t="s">
        <v>194</v>
      </c>
      <c r="I3" s="5" t="s">
        <v>20</v>
      </c>
      <c r="J3" s="5" t="s">
        <v>195</v>
      </c>
      <c r="K3" s="5"/>
      <c r="L3" s="5"/>
    </row>
    <row r="4" customFormat="false" ht="21.75" hidden="false" customHeight="true" outlineLevel="0" collapsed="false">
      <c r="A4" s="5" t="s">
        <v>196</v>
      </c>
      <c r="B4" s="5" t="s">
        <v>192</v>
      </c>
      <c r="C4" s="5"/>
      <c r="D4" s="5" t="s">
        <v>102</v>
      </c>
      <c r="E4" s="5" t="s">
        <v>197</v>
      </c>
      <c r="F4" s="5" t="s">
        <v>102</v>
      </c>
      <c r="G4" s="5" t="s">
        <v>113</v>
      </c>
      <c r="H4" s="5" t="s">
        <v>198</v>
      </c>
      <c r="I4" s="5" t="s">
        <v>113</v>
      </c>
      <c r="J4" s="5" t="s">
        <v>199</v>
      </c>
      <c r="K4" s="5"/>
      <c r="L4" s="5"/>
    </row>
    <row r="5" customFormat="false" ht="15" hidden="false" customHeight="true" outlineLevel="0" collapsed="false">
      <c r="A5" s="5" t="s">
        <v>200</v>
      </c>
      <c r="B5" s="5" t="s">
        <v>201</v>
      </c>
      <c r="C5" s="5"/>
      <c r="D5" s="5" t="s">
        <v>102</v>
      </c>
      <c r="E5" s="5" t="s">
        <v>202</v>
      </c>
      <c r="F5" s="5" t="s">
        <v>102</v>
      </c>
      <c r="G5" s="5" t="s">
        <v>203</v>
      </c>
      <c r="H5" s="5" t="s">
        <v>204</v>
      </c>
      <c r="I5" s="5" t="s">
        <v>203</v>
      </c>
      <c r="J5" s="5" t="s">
        <v>205</v>
      </c>
      <c r="K5" s="5"/>
      <c r="L5" s="5"/>
    </row>
    <row r="6" customFormat="false" ht="15" hidden="false" customHeight="true" outlineLevel="0" collapsed="false">
      <c r="A6" s="5" t="s">
        <v>206</v>
      </c>
      <c r="B6" s="5" t="s">
        <v>201</v>
      </c>
      <c r="C6" s="5"/>
      <c r="D6" s="5" t="s">
        <v>102</v>
      </c>
      <c r="E6" s="5" t="s">
        <v>207</v>
      </c>
      <c r="F6" s="5" t="s">
        <v>102</v>
      </c>
      <c r="G6" s="5" t="s">
        <v>208</v>
      </c>
      <c r="H6" s="5" t="s">
        <v>209</v>
      </c>
      <c r="I6" s="5" t="s">
        <v>208</v>
      </c>
      <c r="J6" s="5" t="s">
        <v>210</v>
      </c>
      <c r="K6" s="5"/>
      <c r="L6" s="5"/>
    </row>
    <row r="7" customFormat="false" ht="21.75" hidden="false" customHeight="true" outlineLevel="0" collapsed="false">
      <c r="A7" s="5" t="s">
        <v>211</v>
      </c>
      <c r="B7" s="5" t="s">
        <v>212</v>
      </c>
      <c r="C7" s="5"/>
      <c r="D7" s="5" t="s">
        <v>102</v>
      </c>
      <c r="E7" s="5" t="s">
        <v>213</v>
      </c>
      <c r="F7" s="5" t="s">
        <v>102</v>
      </c>
      <c r="G7" s="5" t="s">
        <v>20</v>
      </c>
      <c r="H7" s="5" t="s">
        <v>214</v>
      </c>
      <c r="I7" s="5" t="s">
        <v>20</v>
      </c>
      <c r="J7" s="5" t="s">
        <v>215</v>
      </c>
      <c r="K7" s="5"/>
      <c r="L7" s="5"/>
    </row>
    <row r="8" customFormat="false" ht="21.75" hidden="false" customHeight="true" outlineLevel="0" collapsed="false">
      <c r="A8" s="5" t="s">
        <v>216</v>
      </c>
      <c r="B8" s="5" t="s">
        <v>217</v>
      </c>
      <c r="C8" s="5"/>
      <c r="D8" s="5" t="s">
        <v>102</v>
      </c>
      <c r="E8" s="5" t="s">
        <v>218</v>
      </c>
      <c r="F8" s="5" t="s">
        <v>102</v>
      </c>
      <c r="G8" s="5" t="s">
        <v>102</v>
      </c>
      <c r="H8" s="5" t="s">
        <v>219</v>
      </c>
      <c r="I8" s="5" t="s">
        <v>102</v>
      </c>
      <c r="J8" s="5" t="s">
        <v>220</v>
      </c>
      <c r="K8" s="5"/>
      <c r="L8" s="5"/>
    </row>
    <row r="9" customFormat="false" ht="21.75" hidden="false" customHeight="true" outlineLevel="0" collapsed="false">
      <c r="A9" s="5" t="s">
        <v>221</v>
      </c>
      <c r="B9" s="5" t="s">
        <v>222</v>
      </c>
      <c r="C9" s="5"/>
      <c r="D9" s="5" t="s">
        <v>102</v>
      </c>
      <c r="E9" s="5" t="s">
        <v>223</v>
      </c>
      <c r="F9" s="5" t="s">
        <v>102</v>
      </c>
      <c r="G9" s="5" t="s">
        <v>102</v>
      </c>
      <c r="H9" s="5" t="s">
        <v>224</v>
      </c>
      <c r="I9" s="5" t="s">
        <v>102</v>
      </c>
      <c r="J9" s="5" t="s">
        <v>225</v>
      </c>
      <c r="K9" s="5"/>
      <c r="L9" s="5"/>
    </row>
    <row r="10" customFormat="false" ht="21.75" hidden="false" customHeight="true" outlineLevel="0" collapsed="false">
      <c r="A10" s="5" t="s">
        <v>226</v>
      </c>
      <c r="B10" s="5" t="s">
        <v>70</v>
      </c>
      <c r="C10" s="5"/>
      <c r="D10" s="5" t="s">
        <v>102</v>
      </c>
      <c r="E10" s="5" t="s">
        <v>227</v>
      </c>
      <c r="F10" s="5" t="s">
        <v>102</v>
      </c>
      <c r="G10" s="5" t="s">
        <v>20</v>
      </c>
      <c r="H10" s="5" t="s">
        <v>228</v>
      </c>
      <c r="I10" s="5" t="s">
        <v>20</v>
      </c>
      <c r="J10" s="5" t="s">
        <v>229</v>
      </c>
      <c r="K10" s="5"/>
      <c r="L10" s="5"/>
    </row>
    <row r="11" customFormat="false" ht="15" hidden="false" customHeight="true" outlineLevel="0" collapsed="false">
      <c r="A11" s="5" t="s">
        <v>230</v>
      </c>
      <c r="B11" s="5" t="s">
        <v>64</v>
      </c>
      <c r="C11" s="5"/>
      <c r="D11" s="5" t="s">
        <v>102</v>
      </c>
      <c r="E11" s="5" t="s">
        <v>231</v>
      </c>
      <c r="F11" s="5" t="s">
        <v>102</v>
      </c>
      <c r="G11" s="5" t="s">
        <v>20</v>
      </c>
      <c r="H11" s="5" t="s">
        <v>232</v>
      </c>
      <c r="I11" s="5" t="s">
        <v>20</v>
      </c>
      <c r="J11" s="5" t="s">
        <v>233</v>
      </c>
      <c r="K11" s="5"/>
      <c r="L11" s="5"/>
    </row>
  </sheetData>
  <mergeCells count="1">
    <mergeCell ref="A2:L2"/>
  </mergeCells>
  <dataValidations count="1">
    <dataValidation allowBlank="true" errorStyle="stop" operator="between" showDropDown="false" showErrorMessage="false" showInputMessage="false" sqref="K2:K11" type="list">
      <formula1>"Not run,PASS,FAIL,BLOCKED,N/A"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5"/>
    <col collapsed="false" customWidth="true" hidden="false" outlineLevel="0" max="3" min="3" style="1" width="13"/>
    <col collapsed="false" customWidth="true" hidden="false" outlineLevel="0" max="4" min="4" style="1" width="7"/>
    <col collapsed="false" customWidth="true" hidden="false" outlineLevel="0" max="5" min="5" style="1" width="20"/>
    <col collapsed="false" customWidth="true" hidden="false" outlineLevel="0" max="6" min="6" style="1" width="16"/>
    <col collapsed="false" customWidth="true" hidden="false" outlineLevel="0" max="7" min="7" style="1" width="9"/>
    <col collapsed="false" customWidth="true" hidden="false" outlineLevel="0" max="8" min="8" style="1" width="42"/>
    <col collapsed="false" customWidth="true" hidden="false" outlineLevel="0" max="9" min="9" style="1" width="8"/>
    <col collapsed="false" customWidth="true" hidden="false" outlineLevel="0" max="10" min="10" style="1" width="52"/>
    <col collapsed="false" customWidth="true" hidden="false" outlineLevel="0" max="11" min="11" style="1" width="12"/>
    <col collapsed="false" customWidth="true" hidden="false" outlineLevel="0" max="12" min="12" style="1" width="30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9.5" hidden="false" customHeight="true" outlineLevel="0" collapsed="false">
      <c r="A2" s="11" t="s">
        <v>234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customFormat="false" ht="21.75" hidden="false" customHeight="true" outlineLevel="0" collapsed="false">
      <c r="A3" s="12" t="s">
        <v>235</v>
      </c>
      <c r="B3" s="12" t="s">
        <v>236</v>
      </c>
      <c r="C3" s="12" t="s">
        <v>237</v>
      </c>
      <c r="D3" s="12" t="s">
        <v>102</v>
      </c>
      <c r="E3" s="12" t="s">
        <v>238</v>
      </c>
      <c r="F3" s="12" t="s">
        <v>102</v>
      </c>
      <c r="G3" s="12" t="s">
        <v>20</v>
      </c>
      <c r="H3" s="12" t="s">
        <v>239</v>
      </c>
      <c r="I3" s="12" t="s">
        <v>20</v>
      </c>
      <c r="J3" s="12" t="s">
        <v>240</v>
      </c>
      <c r="K3" s="12"/>
      <c r="L3" s="12"/>
    </row>
    <row r="4" customFormat="false" ht="15" hidden="false" customHeight="true" outlineLevel="0" collapsed="false">
      <c r="A4" s="12" t="s">
        <v>241</v>
      </c>
      <c r="B4" s="12" t="s">
        <v>242</v>
      </c>
      <c r="C4" s="12" t="s">
        <v>109</v>
      </c>
      <c r="D4" s="12" t="s">
        <v>102</v>
      </c>
      <c r="E4" s="12" t="s">
        <v>243</v>
      </c>
      <c r="F4" s="12" t="s">
        <v>102</v>
      </c>
      <c r="G4" s="12" t="s">
        <v>20</v>
      </c>
      <c r="H4" s="12" t="s">
        <v>244</v>
      </c>
      <c r="I4" s="12" t="s">
        <v>20</v>
      </c>
      <c r="J4" s="12" t="s">
        <v>245</v>
      </c>
      <c r="K4" s="12"/>
      <c r="L4" s="12"/>
    </row>
    <row r="5" customFormat="false" ht="21.75" hidden="false" customHeight="true" outlineLevel="0" collapsed="false">
      <c r="A5" s="12" t="s">
        <v>246</v>
      </c>
      <c r="B5" s="12" t="s">
        <v>247</v>
      </c>
      <c r="C5" s="12" t="s">
        <v>109</v>
      </c>
      <c r="D5" s="12" t="s">
        <v>102</v>
      </c>
      <c r="E5" s="12" t="s">
        <v>248</v>
      </c>
      <c r="F5" s="12" t="s">
        <v>102</v>
      </c>
      <c r="G5" s="12" t="s">
        <v>20</v>
      </c>
      <c r="H5" s="12" t="s">
        <v>249</v>
      </c>
      <c r="I5" s="12" t="s">
        <v>20</v>
      </c>
      <c r="J5" s="12" t="s">
        <v>250</v>
      </c>
      <c r="K5" s="12"/>
      <c r="L5" s="12"/>
    </row>
    <row r="6" customFormat="false" ht="21.75" hidden="false" customHeight="true" outlineLevel="0" collapsed="false">
      <c r="A6" s="12" t="s">
        <v>251</v>
      </c>
      <c r="B6" s="12" t="s">
        <v>252</v>
      </c>
      <c r="C6" s="12" t="s">
        <v>109</v>
      </c>
      <c r="D6" s="12" t="s">
        <v>102</v>
      </c>
      <c r="E6" s="12" t="s">
        <v>253</v>
      </c>
      <c r="F6" s="12" t="s">
        <v>102</v>
      </c>
      <c r="G6" s="12" t="s">
        <v>113</v>
      </c>
      <c r="H6" s="12" t="s">
        <v>254</v>
      </c>
      <c r="I6" s="12" t="s">
        <v>113</v>
      </c>
      <c r="J6" s="12" t="s">
        <v>255</v>
      </c>
      <c r="K6" s="12"/>
      <c r="L6" s="12"/>
    </row>
  </sheetData>
  <mergeCells count="1">
    <mergeCell ref="A2:L2"/>
  </mergeCells>
  <dataValidations count="1">
    <dataValidation allowBlank="true" errorStyle="stop" operator="between" showDropDown="false" showErrorMessage="false" showInputMessage="false" sqref="K2:K6" type="list">
      <formula1>"Not run,PASS,FAIL,BLOCKED,N/A"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5"/>
    <col collapsed="false" customWidth="true" hidden="false" outlineLevel="0" max="3" min="3" style="1" width="13"/>
    <col collapsed="false" customWidth="true" hidden="false" outlineLevel="0" max="4" min="4" style="1" width="7"/>
    <col collapsed="false" customWidth="true" hidden="false" outlineLevel="0" max="5" min="5" style="1" width="20"/>
    <col collapsed="false" customWidth="true" hidden="false" outlineLevel="0" max="6" min="6" style="1" width="16"/>
    <col collapsed="false" customWidth="true" hidden="false" outlineLevel="0" max="7" min="7" style="1" width="9"/>
    <col collapsed="false" customWidth="true" hidden="false" outlineLevel="0" max="8" min="8" style="1" width="42"/>
    <col collapsed="false" customWidth="true" hidden="false" outlineLevel="0" max="9" min="9" style="1" width="8"/>
    <col collapsed="false" customWidth="true" hidden="false" outlineLevel="0" max="10" min="10" style="1" width="52"/>
    <col collapsed="false" customWidth="true" hidden="false" outlineLevel="0" max="11" min="11" style="1" width="12"/>
    <col collapsed="false" customWidth="true" hidden="false" outlineLevel="0" max="12" min="12" style="1" width="30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9.5" hidden="false" customHeight="true" outlineLevel="0" collapsed="false">
      <c r="A2" s="11" t="s">
        <v>256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customFormat="false" ht="15" hidden="false" customHeight="true" outlineLevel="0" collapsed="false">
      <c r="A3" s="12" t="s">
        <v>257</v>
      </c>
      <c r="B3" s="12" t="s">
        <v>258</v>
      </c>
      <c r="C3" s="12" t="s">
        <v>259</v>
      </c>
      <c r="D3" s="12" t="s">
        <v>102</v>
      </c>
      <c r="E3" s="12" t="s">
        <v>260</v>
      </c>
      <c r="F3" s="12" t="s">
        <v>102</v>
      </c>
      <c r="G3" s="12" t="s">
        <v>20</v>
      </c>
      <c r="H3" s="12" t="s">
        <v>261</v>
      </c>
      <c r="I3" s="12" t="s">
        <v>20</v>
      </c>
      <c r="J3" s="12" t="s">
        <v>262</v>
      </c>
      <c r="K3" s="12"/>
      <c r="L3" s="12"/>
    </row>
    <row r="4" customFormat="false" ht="21.75" hidden="false" customHeight="true" outlineLevel="0" collapsed="false">
      <c r="A4" s="12" t="s">
        <v>263</v>
      </c>
      <c r="B4" s="12" t="s">
        <v>258</v>
      </c>
      <c r="C4" s="12"/>
      <c r="D4" s="12" t="s">
        <v>264</v>
      </c>
      <c r="E4" s="12" t="s">
        <v>265</v>
      </c>
      <c r="F4" s="12" t="s">
        <v>169</v>
      </c>
      <c r="G4" s="12" t="s">
        <v>20</v>
      </c>
      <c r="H4" s="12" t="s">
        <v>266</v>
      </c>
      <c r="I4" s="12" t="s">
        <v>20</v>
      </c>
      <c r="J4" s="12" t="s">
        <v>267</v>
      </c>
      <c r="K4" s="12"/>
      <c r="L4" s="12"/>
    </row>
    <row r="5" customFormat="false" ht="21.75" hidden="false" customHeight="true" outlineLevel="0" collapsed="false">
      <c r="A5" s="12" t="s">
        <v>268</v>
      </c>
      <c r="B5" s="12" t="s">
        <v>269</v>
      </c>
      <c r="C5" s="12" t="s">
        <v>259</v>
      </c>
      <c r="D5" s="12" t="s">
        <v>102</v>
      </c>
      <c r="E5" s="12" t="s">
        <v>270</v>
      </c>
      <c r="F5" s="12" t="s">
        <v>102</v>
      </c>
      <c r="G5" s="12" t="s">
        <v>20</v>
      </c>
      <c r="H5" s="12" t="s">
        <v>271</v>
      </c>
      <c r="I5" s="12" t="s">
        <v>20</v>
      </c>
      <c r="J5" s="12" t="s">
        <v>272</v>
      </c>
      <c r="K5" s="12"/>
      <c r="L5" s="12"/>
    </row>
    <row r="6" customFormat="false" ht="15" hidden="false" customHeight="true" outlineLevel="0" collapsed="false">
      <c r="A6" s="12" t="s">
        <v>273</v>
      </c>
      <c r="B6" s="12" t="s">
        <v>269</v>
      </c>
      <c r="C6" s="12" t="s">
        <v>259</v>
      </c>
      <c r="D6" s="12" t="s">
        <v>102</v>
      </c>
      <c r="E6" s="12" t="s">
        <v>274</v>
      </c>
      <c r="F6" s="12" t="s">
        <v>102</v>
      </c>
      <c r="G6" s="12" t="s">
        <v>20</v>
      </c>
      <c r="H6" s="12" t="s">
        <v>275</v>
      </c>
      <c r="I6" s="12" t="s">
        <v>20</v>
      </c>
      <c r="J6" s="12" t="s">
        <v>276</v>
      </c>
      <c r="K6" s="12"/>
      <c r="L6" s="12"/>
    </row>
    <row r="7" customFormat="false" ht="15" hidden="false" customHeight="true" outlineLevel="0" collapsed="false">
      <c r="A7" s="12" t="s">
        <v>277</v>
      </c>
      <c r="B7" s="12" t="s">
        <v>269</v>
      </c>
      <c r="C7" s="12" t="s">
        <v>259</v>
      </c>
      <c r="D7" s="12" t="s">
        <v>102</v>
      </c>
      <c r="E7" s="12" t="s">
        <v>278</v>
      </c>
      <c r="F7" s="12" t="s">
        <v>102</v>
      </c>
      <c r="G7" s="12" t="s">
        <v>20</v>
      </c>
      <c r="H7" s="12" t="s">
        <v>279</v>
      </c>
      <c r="I7" s="12" t="s">
        <v>20</v>
      </c>
      <c r="J7" s="12" t="s">
        <v>280</v>
      </c>
      <c r="K7" s="12"/>
      <c r="L7" s="12"/>
    </row>
    <row r="8" customFormat="false" ht="15" hidden="false" customHeight="true" outlineLevel="0" collapsed="false">
      <c r="A8" s="12" t="s">
        <v>281</v>
      </c>
      <c r="B8" s="12" t="s">
        <v>269</v>
      </c>
      <c r="C8" s="12" t="s">
        <v>259</v>
      </c>
      <c r="D8" s="12" t="s">
        <v>17</v>
      </c>
      <c r="E8" s="12" t="s">
        <v>282</v>
      </c>
      <c r="F8" s="12" t="s">
        <v>133</v>
      </c>
      <c r="G8" s="12" t="s">
        <v>20</v>
      </c>
      <c r="H8" s="12" t="s">
        <v>283</v>
      </c>
      <c r="I8" s="12" t="s">
        <v>20</v>
      </c>
      <c r="J8" s="12" t="s">
        <v>284</v>
      </c>
      <c r="K8" s="12"/>
      <c r="L8" s="12"/>
    </row>
    <row r="9" customFormat="false" ht="21.75" hidden="false" customHeight="true" outlineLevel="0" collapsed="false">
      <c r="A9" s="12" t="s">
        <v>285</v>
      </c>
      <c r="B9" s="12" t="s">
        <v>286</v>
      </c>
      <c r="C9" s="12" t="s">
        <v>109</v>
      </c>
      <c r="D9" s="12" t="s">
        <v>102</v>
      </c>
      <c r="E9" s="12" t="s">
        <v>287</v>
      </c>
      <c r="F9" s="12" t="s">
        <v>102</v>
      </c>
      <c r="G9" s="12" t="s">
        <v>113</v>
      </c>
      <c r="H9" s="12" t="s">
        <v>288</v>
      </c>
      <c r="I9" s="12" t="s">
        <v>113</v>
      </c>
      <c r="J9" s="12" t="s">
        <v>289</v>
      </c>
      <c r="K9" s="12"/>
      <c r="L9" s="12"/>
    </row>
  </sheetData>
  <mergeCells count="1">
    <mergeCell ref="A2:L2"/>
  </mergeCells>
  <dataValidations count="1">
    <dataValidation allowBlank="true" errorStyle="stop" operator="between" showDropDown="false" showErrorMessage="false" showInputMessage="false" sqref="K2:K9" type="list">
      <formula1>"Not run,PASS,FAIL,BLOCKED,N/A"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2026-06-25T10:21:30Z</dcterms:created>
  <dc:creator>openpyxl</dc:creator>
  <dc:description/>
  <dc:language>en-US</dc:language>
  <cp:lastModifiedBy/>
  <dcterms:modified xsi:type="dcterms:W3CDTF">2026-07-01T07:16:23Z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